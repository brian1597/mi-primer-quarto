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5" documentId="11_8E9BD95674D5574C52DA612D04381323A1275B5F" xr6:coauthVersionLast="47" xr6:coauthVersionMax="47" xr10:uidLastSave="{36DE58FF-475B-47AE-B6DD-14C2DBFBE07C}"/>
  <bookViews>
    <workbookView xWindow="-110" yWindow="-110" windowWidth="19420" windowHeight="11500" xr2:uid="{00000000-000D-0000-FFFF-FFFF00000000}"/>
  </bookViews>
  <sheets>
    <sheet name="COPA AMERICA" sheetId="1" r:id="rId1"/>
    <sheet name="INSTRUCCIONES" sheetId="2" r:id="rId2"/>
    <sheet name="Datos tomados 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7GvX5vhItnnQwxVyGzjyCJqk8z6t9qlXo0cejreWfY="/>
    </ext>
  </extLst>
</workbook>
</file>

<file path=xl/calcChain.xml><?xml version="1.0" encoding="utf-8"?>
<calcChain xmlns="http://schemas.openxmlformats.org/spreadsheetml/2006/main">
  <c r="F3" i="1" l="1" a="1"/>
  <c r="F3" i="1"/>
  <c r="F4" i="1" a="1"/>
  <c r="F4" i="1"/>
  <c r="F5" i="1" a="1"/>
  <c r="F5" i="1" s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 s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 s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 s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 s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 s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 s="1"/>
  <c r="F48" i="1" a="1"/>
  <c r="F48" i="1"/>
  <c r="F49" i="1" a="1"/>
  <c r="F49" i="1"/>
  <c r="F50" i="1" a="1"/>
  <c r="F50" i="1"/>
  <c r="F51" i="1" a="1"/>
  <c r="F51" i="1"/>
  <c r="F52" i="1" a="1"/>
  <c r="F5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<sst xmlns="http://schemas.openxmlformats.org/spreadsheetml/2006/main" count="269" uniqueCount="59">
  <si>
    <t>PARTIDO</t>
  </si>
  <si>
    <t>FECHA</t>
  </si>
  <si>
    <t>EQUIPO</t>
  </si>
  <si>
    <t>GOLES FAVOR</t>
  </si>
  <si>
    <t>GOLES CONTRA</t>
  </si>
  <si>
    <t>Cat_GolesContra</t>
  </si>
  <si>
    <t>PASES</t>
  </si>
  <si>
    <t>JUGADORA_DESTACADA</t>
  </si>
  <si>
    <t>PUESTO FINAL</t>
  </si>
  <si>
    <t>FASE</t>
  </si>
  <si>
    <t>GRUPO</t>
  </si>
  <si>
    <t>ECUADOR</t>
  </si>
  <si>
    <t>NAYELY BOLAÑOS</t>
  </si>
  <si>
    <t>OTRO</t>
  </si>
  <si>
    <t>GRUPOS</t>
  </si>
  <si>
    <t>A</t>
  </si>
  <si>
    <t>BOLIVIA</t>
  </si>
  <si>
    <t>COLOMBIA</t>
  </si>
  <si>
    <t>DANIELA MONTOYA</t>
  </si>
  <si>
    <t>SUBCAMPEON</t>
  </si>
  <si>
    <t>PARAGUAY</t>
  </si>
  <si>
    <t>CUARTO</t>
  </si>
  <si>
    <t>URUGUAY</t>
  </si>
  <si>
    <t>DEYNA CASTELLANOS</t>
  </si>
  <si>
    <t>B</t>
  </si>
  <si>
    <t>VENEZUELA</t>
  </si>
  <si>
    <t>SEXTO</t>
  </si>
  <si>
    <t>BRASIL</t>
  </si>
  <si>
    <t>ADRIANA</t>
  </si>
  <si>
    <t>CAMPEON</t>
  </si>
  <si>
    <t>ARGENTINA</t>
  </si>
  <si>
    <t>TERCERO</t>
  </si>
  <si>
    <t>JESSICA MARTINEZ</t>
  </si>
  <si>
    <t>CHILE</t>
  </si>
  <si>
    <t>QUINTO</t>
  </si>
  <si>
    <t>LEICY SANTOS</t>
  </si>
  <si>
    <t>YAMILA RODRIGUEZ</t>
  </si>
  <si>
    <t>PERU</t>
  </si>
  <si>
    <t>RAMONA MARTINEZ</t>
  </si>
  <si>
    <t>JAVIERA GREZ</t>
  </si>
  <si>
    <t>ORIANA ALTUVE</t>
  </si>
  <si>
    <t>FRANCISCA LARA</t>
  </si>
  <si>
    <t>LINDA CAICEDO</t>
  </si>
  <si>
    <t>DEBINHA</t>
  </si>
  <si>
    <t>BELEN AQUINO</t>
  </si>
  <si>
    <t>CATALINA USME</t>
  </si>
  <si>
    <t>KERLLY REAL</t>
  </si>
  <si>
    <t>FLORENCIA BONSEGUNDO</t>
  </si>
  <si>
    <t>GABI PORTILHO</t>
  </si>
  <si>
    <t>DANIELA ZAMORA</t>
  </si>
  <si>
    <t>QUINTO PUESTO</t>
  </si>
  <si>
    <t>FINALES</t>
  </si>
  <si>
    <t>SEMIFINAL</t>
  </si>
  <si>
    <t>BIA ZANERATTO</t>
  </si>
  <si>
    <t>TERCER PUESTO</t>
  </si>
  <si>
    <t>FINAL</t>
  </si>
  <si>
    <t>https://www.conmebol.com/conmebol-copa-america-femenina/</t>
  </si>
  <si>
    <t>https://es.wikipedia.org/wiki/Copa_Am%C3%A9rica_Femenina_2022</t>
  </si>
  <si>
    <t>https://www.google.com/search?q=copa+america+2022+femenina+resultados+google&amp;sxsrf=ALiCzsZFag922HsEnVmDTJxkiGzzlmShoA%3A1664377895996&amp;ei=J2Q0Y7q7PJGykvQPrL2UmAM&amp;ved=0ahUKEwj66ozq4rf6AhURmYQIHaweBTMQ4dUDCA4&amp;uact=5&amp;oq=copa+america+2022+femenina+resultados+google&amp;gs_lcp=Cgdnd3Mtd2l6EAMyBQghEKABMgUIIRCgAToKCAAQRxDWBBCwAzoFCAAQgAQ6BggAEB4QFjoICCEQHhAWEB1KBAhBGABKBAhGGABQpwdYsRZgtRdoAXABeAGAAdIBiAGuD5IBBjAuMTUuMZgBAKABAcgBCMABAQ&amp;sclient=gws-wiz#sie=lg;/g/11j65kxfj2;2;/m/0fb7p6;mt;fp;1;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</si>
</sst>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6" x14ac:knownFonts="1">
    <font>
      <sz val="10"/>
      <color rgb="FF000000"/>
      <name val="Arial"/>
      <scheme val="minor"/>
    </font>
    <font>
      <sz val="10"/>
      <color theme="0"/>
      <name val="Arial"/>
    </font>
    <font>
      <sz val="10"/>
      <color rgb="FFFFFF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OPA AMERIC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3</xdr:row>
      <xdr:rowOff>114300</xdr:rowOff>
    </xdr:from>
    <xdr:ext cx="5553075" cy="4619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574225" y="1474950"/>
          <a:ext cx="5543550" cy="4610100"/>
        </a:xfrm>
        <a:prstGeom prst="rect">
          <a:avLst/>
        </a:prstGeom>
        <a:solidFill>
          <a:srgbClr val="A4E4B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⚽ Con la tabla de datos ubicada en la hoja llamada COPA AMERICA, realizar lo siguiente.⚽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⚽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1)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Esta tabla tiene dos registros por cada PARTIDO de futbol, pero se diferencian por el número del PARTIDO (Columna A) y el nombre del EQUIPO (Columna C). Identifique el registro que está repetido usando las herramientas enseñadas y finalmente elimine el registro. (Dejar evidencia del proceso).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⚽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2)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En el campo llamado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RESULTADO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escribir lo siguiente de acuerdo con la comparación entre los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Goles a Favor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y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los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Goles en Contra (Columna D y Columna E):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VICTORIA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(Para el caso en que los goles a favor sean mayores)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EMPATE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(En caso de ser iguales)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DERROTA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(Para el caso en que los goles a favor sean menores)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⚽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3)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Identifique los PAISES por ZONA.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SUR: Argentina y Chile.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CENTRO: Uruguay, Paraguay, Bolivia y Perú.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NORTE: Colombia, Ecuador, Venezuela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BRASIL: Como una categoria aparte llamada BRASIL.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⚽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4)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Genere una escala de categorías para el NÚMERO DE PASES realizados por cada equipo en cada partido (por cada registro). Puede inventar la escala a su gusto.</a:t>
          </a:r>
          <a:endParaRPr sz="1100" b="1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52">
  <tableColumns count="11">
    <tableColumn id="1" xr3:uid="{00000000-0010-0000-0000-000001000000}" name="PARTIDO"/>
    <tableColumn id="2" xr3:uid="{00000000-0010-0000-0000-000002000000}" name="FECHA"/>
    <tableColumn id="3" xr3:uid="{00000000-0010-0000-0000-000003000000}" name="EQUIPO"/>
    <tableColumn id="4" xr3:uid="{00000000-0010-0000-0000-000004000000}" name="GOLES FAVOR"/>
    <tableColumn id="5" xr3:uid="{00000000-0010-0000-0000-000005000000}" name="GOLES CONTRA"/>
    <tableColumn id="6" xr3:uid="{00000000-0010-0000-0000-000006000000}" name="Cat_GolesContra">
      <calculatedColumnFormula array="1">_xlfn.IFS(E2=0,"Valla no vencida",E2&lt;=3,"Normal",TRUE,"Goleado")</calculatedColumnFormula>
    </tableColumn>
    <tableColumn id="7" xr3:uid="{00000000-0010-0000-0000-000007000000}" name="PASES"/>
    <tableColumn id="8" xr3:uid="{00000000-0010-0000-0000-000008000000}" name="JUGADORA_DESTACADA"/>
    <tableColumn id="9" xr3:uid="{00000000-0010-0000-0000-000009000000}" name="PUESTO FINAL"/>
    <tableColumn id="10" xr3:uid="{00000000-0010-0000-0000-00000A000000}" name="FASE"/>
    <tableColumn id="11" xr3:uid="{00000000-0010-0000-0000-00000B000000}" name="GRUPO"/>
  </tableColumns>
  <tableStyleInfo name="COPA AMERIC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copa+america+2022+femenina+resultados+google&amp;sxsrf=ALiCzsZFag922HsEnVmDTJxkiGzzlmShoA%3A1664377895996&amp;ei=J2Q0Y7q7PJGykvQPrL2UmAM&amp;ved=0ahUKEwj66ozq4rf6AhURmYQIHaweBTMQ4dUDCA4&amp;uact=5&amp;oq=copa+america+2022+femenina+resultados+google&amp;gs_lcp=Cgdnd3Mtd2l6EAMyBQghEKABMgUIIRCgAToKCAAQRxDWBBCwAzoFCAAQgAQ6BggAEB4QFjoICCEQHhAWEB1KBAhBGABKBAhGGABQpwdYsRZgtRdoAXABeAGAAdIBiAGuD5IBBjAuMTUuMZgBAKABAcgBCMABAQ&amp;sclient=gws-wiz" TargetMode="External"/><Relationship Id="rId2" Type="http://schemas.openxmlformats.org/officeDocument/2006/relationships/hyperlink" Target="https://es.wikipedia.org/wiki/Copa_Am%C3%A9rica_Femenina_2022" TargetMode="External"/><Relationship Id="rId1" Type="http://schemas.openxmlformats.org/officeDocument/2006/relationships/hyperlink" Target="https://www.conmebol.com/conmebol-copa-america-femen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12.6328125" defaultRowHeight="15" customHeight="1" x14ac:dyDescent="0.25"/>
  <cols>
    <col min="1" max="1" width="8.81640625" bestFit="1" customWidth="1"/>
    <col min="2" max="2" width="9.90625" bestFit="1" customWidth="1"/>
    <col min="3" max="3" width="11.1796875" bestFit="1" customWidth="1"/>
    <col min="4" max="4" width="13.81640625" bestFit="1" customWidth="1"/>
    <col min="5" max="5" width="15.08984375" bestFit="1" customWidth="1"/>
    <col min="6" max="6" width="14.7265625" bestFit="1" customWidth="1"/>
    <col min="7" max="7" width="6.7265625" bestFit="1" customWidth="1"/>
    <col min="8" max="8" width="24.453125" bestFit="1" customWidth="1"/>
    <col min="9" max="9" width="13.6328125" bestFit="1" customWidth="1"/>
    <col min="10" max="10" width="16" bestFit="1" customWidth="1"/>
    <col min="11" max="11" width="8.1796875" bestFit="1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3">
        <v>1</v>
      </c>
      <c r="B2" s="4">
        <v>44750</v>
      </c>
      <c r="C2" s="3" t="s">
        <v>11</v>
      </c>
      <c r="D2" s="3">
        <v>6</v>
      </c>
      <c r="E2" s="3">
        <v>1</v>
      </c>
      <c r="F2" s="3" t="str" cm="1">
        <f t="array" ref="F2">_xlfn.IFS(E2=0,"Valla no vencida",E2&lt;=3,"Normal",TRUE,"Goleado")</f>
        <v>Normal</v>
      </c>
      <c r="G2" s="3">
        <v>314</v>
      </c>
      <c r="H2" s="3" t="s">
        <v>12</v>
      </c>
      <c r="I2" s="3" t="s">
        <v>13</v>
      </c>
      <c r="J2" s="3" t="s">
        <v>14</v>
      </c>
      <c r="K2" s="3" t="s">
        <v>15</v>
      </c>
    </row>
    <row r="3" spans="1:11" ht="15.75" customHeight="1" x14ac:dyDescent="0.25">
      <c r="A3" s="3">
        <v>1</v>
      </c>
      <c r="B3" s="4">
        <v>44750</v>
      </c>
      <c r="C3" s="3" t="s">
        <v>16</v>
      </c>
      <c r="D3" s="3">
        <v>1</v>
      </c>
      <c r="E3" s="3">
        <v>6</v>
      </c>
      <c r="F3" s="3" t="str" cm="1">
        <f t="array" ref="F3">_xlfn.IFS(E3=0,"Valla no vencida",E3&lt;=3,"Normal",TRUE,"Goleado")</f>
        <v>Goleado</v>
      </c>
      <c r="G3" s="3">
        <v>229</v>
      </c>
      <c r="H3" s="3" t="s">
        <v>12</v>
      </c>
      <c r="I3" s="3" t="s">
        <v>13</v>
      </c>
      <c r="J3" s="3" t="s">
        <v>14</v>
      </c>
      <c r="K3" s="3" t="s">
        <v>15</v>
      </c>
    </row>
    <row r="4" spans="1:11" ht="15.75" customHeight="1" x14ac:dyDescent="0.25">
      <c r="A4" s="3">
        <v>2</v>
      </c>
      <c r="B4" s="4">
        <v>44750</v>
      </c>
      <c r="C4" s="3" t="s">
        <v>17</v>
      </c>
      <c r="D4" s="3">
        <v>4</v>
      </c>
      <c r="E4" s="3">
        <v>2</v>
      </c>
      <c r="F4" s="3" t="str" cm="1">
        <f t="array" ref="F4">_xlfn.IFS(E4=0,"Valla no vencida",E4&lt;=3,"Normal",TRUE,"Goleado")</f>
        <v>Normal</v>
      </c>
      <c r="G4" s="3">
        <v>423</v>
      </c>
      <c r="H4" s="3" t="s">
        <v>18</v>
      </c>
      <c r="I4" s="3" t="s">
        <v>19</v>
      </c>
      <c r="J4" s="3" t="s">
        <v>14</v>
      </c>
      <c r="K4" s="3" t="s">
        <v>15</v>
      </c>
    </row>
    <row r="5" spans="1:11" ht="15.75" customHeight="1" x14ac:dyDescent="0.25">
      <c r="A5" s="3">
        <v>2</v>
      </c>
      <c r="B5" s="4">
        <v>44750</v>
      </c>
      <c r="C5" s="3" t="s">
        <v>20</v>
      </c>
      <c r="D5" s="3">
        <v>2</v>
      </c>
      <c r="E5" s="3">
        <v>4</v>
      </c>
      <c r="F5" s="3" t="str" cm="1">
        <f t="array" ref="F5">_xlfn.IFS(E5=0,"Valla no vencida",E5&lt;=3,"Normal",TRUE,"Goleado")</f>
        <v>Goleado</v>
      </c>
      <c r="G5" s="3">
        <v>239</v>
      </c>
      <c r="H5" s="3" t="s">
        <v>18</v>
      </c>
      <c r="I5" s="3" t="s">
        <v>21</v>
      </c>
      <c r="J5" s="3" t="s">
        <v>14</v>
      </c>
      <c r="K5" s="3" t="s">
        <v>15</v>
      </c>
    </row>
    <row r="6" spans="1:11" ht="15.75" customHeight="1" x14ac:dyDescent="0.25">
      <c r="A6" s="3">
        <v>3</v>
      </c>
      <c r="B6" s="4">
        <v>44751</v>
      </c>
      <c r="C6" s="3" t="s">
        <v>22</v>
      </c>
      <c r="D6" s="3">
        <v>0</v>
      </c>
      <c r="E6" s="3">
        <v>1</v>
      </c>
      <c r="F6" s="3" t="str" cm="1">
        <f t="array" ref="F6">_xlfn.IFS(E6=0,"Valla no vencida",E6&lt;=3,"Normal",TRUE,"Goleado")</f>
        <v>Normal</v>
      </c>
      <c r="G6" s="3">
        <v>179</v>
      </c>
      <c r="H6" s="3" t="s">
        <v>23</v>
      </c>
      <c r="I6" s="3" t="s">
        <v>13</v>
      </c>
      <c r="J6" s="3" t="s">
        <v>14</v>
      </c>
      <c r="K6" s="3" t="s">
        <v>24</v>
      </c>
    </row>
    <row r="7" spans="1:11" ht="15.75" customHeight="1" x14ac:dyDescent="0.25">
      <c r="A7" s="3">
        <v>3</v>
      </c>
      <c r="B7" s="4">
        <v>44751</v>
      </c>
      <c r="C7" s="3" t="s">
        <v>25</v>
      </c>
      <c r="D7" s="3">
        <v>1</v>
      </c>
      <c r="E7" s="3">
        <v>0</v>
      </c>
      <c r="F7" s="3" t="str" cm="1">
        <f t="array" ref="F7">_xlfn.IFS(E7=0,"Valla no vencida",E7&lt;=3,"Normal",TRUE,"Goleado")</f>
        <v>Valla no vencida</v>
      </c>
      <c r="G7" s="3">
        <v>312</v>
      </c>
      <c r="H7" s="3" t="s">
        <v>23</v>
      </c>
      <c r="I7" s="3" t="s">
        <v>26</v>
      </c>
      <c r="J7" s="3" t="s">
        <v>14</v>
      </c>
      <c r="K7" s="3" t="s">
        <v>24</v>
      </c>
    </row>
    <row r="8" spans="1:11" ht="15.75" customHeight="1" x14ac:dyDescent="0.25">
      <c r="A8" s="3">
        <v>4</v>
      </c>
      <c r="B8" s="4">
        <v>44751</v>
      </c>
      <c r="C8" s="3" t="s">
        <v>27</v>
      </c>
      <c r="D8" s="3">
        <v>4</v>
      </c>
      <c r="E8" s="3">
        <v>0</v>
      </c>
      <c r="F8" s="3" t="str" cm="1">
        <f t="array" ref="F8">_xlfn.IFS(E8=0,"Valla no vencida",E8&lt;=3,"Normal",TRUE,"Goleado")</f>
        <v>Valla no vencida</v>
      </c>
      <c r="G8" s="3">
        <v>457</v>
      </c>
      <c r="H8" s="3" t="s">
        <v>28</v>
      </c>
      <c r="I8" s="3" t="s">
        <v>29</v>
      </c>
      <c r="J8" s="3" t="s">
        <v>14</v>
      </c>
      <c r="K8" s="3" t="s">
        <v>24</v>
      </c>
    </row>
    <row r="9" spans="1:11" ht="15.75" customHeight="1" x14ac:dyDescent="0.25">
      <c r="A9" s="3">
        <v>4</v>
      </c>
      <c r="B9" s="4">
        <v>44751</v>
      </c>
      <c r="C9" s="3" t="s">
        <v>30</v>
      </c>
      <c r="D9" s="3">
        <v>0</v>
      </c>
      <c r="E9" s="3">
        <v>4</v>
      </c>
      <c r="F9" s="3" t="str" cm="1">
        <f t="array" ref="F9">_xlfn.IFS(E9=0,"Valla no vencida",E9&lt;=3,"Normal",TRUE,"Goleado")</f>
        <v>Goleado</v>
      </c>
      <c r="G9" s="3">
        <v>362</v>
      </c>
      <c r="H9" s="3" t="s">
        <v>28</v>
      </c>
      <c r="I9" s="3" t="s">
        <v>31</v>
      </c>
      <c r="J9" s="3" t="s">
        <v>14</v>
      </c>
      <c r="K9" s="3" t="s">
        <v>24</v>
      </c>
    </row>
    <row r="10" spans="1:11" ht="15.75" customHeight="1" x14ac:dyDescent="0.25">
      <c r="A10" s="3">
        <v>5</v>
      </c>
      <c r="B10" s="4">
        <v>44753</v>
      </c>
      <c r="C10" s="3" t="s">
        <v>20</v>
      </c>
      <c r="D10" s="3">
        <v>3</v>
      </c>
      <c r="E10" s="3">
        <v>2</v>
      </c>
      <c r="F10" s="3" t="str" cm="1">
        <f t="array" ref="F10">_xlfn.IFS(E10=0,"Valla no vencida",E10&lt;=3,"Normal",TRUE,"Goleado")</f>
        <v>Normal</v>
      </c>
      <c r="G10" s="3">
        <v>232</v>
      </c>
      <c r="H10" s="3" t="s">
        <v>32</v>
      </c>
      <c r="I10" s="3" t="s">
        <v>21</v>
      </c>
      <c r="J10" s="3" t="s">
        <v>14</v>
      </c>
      <c r="K10" s="3" t="s">
        <v>15</v>
      </c>
    </row>
    <row r="11" spans="1:11" ht="15.75" customHeight="1" x14ac:dyDescent="0.25">
      <c r="A11" s="3">
        <v>5</v>
      </c>
      <c r="B11" s="4">
        <v>44753</v>
      </c>
      <c r="C11" s="3" t="s">
        <v>33</v>
      </c>
      <c r="D11" s="3">
        <v>2</v>
      </c>
      <c r="E11" s="3">
        <v>3</v>
      </c>
      <c r="F11" s="3" t="str" cm="1">
        <f t="array" ref="F11">_xlfn.IFS(E11=0,"Valla no vencida",E11&lt;=3,"Normal",TRUE,"Goleado")</f>
        <v>Normal</v>
      </c>
      <c r="G11" s="3">
        <v>374</v>
      </c>
      <c r="H11" s="3" t="s">
        <v>32</v>
      </c>
      <c r="I11" s="3" t="s">
        <v>34</v>
      </c>
      <c r="J11" s="3" t="s">
        <v>14</v>
      </c>
      <c r="K11" s="3" t="s">
        <v>15</v>
      </c>
    </row>
    <row r="12" spans="1:11" ht="15.75" customHeight="1" x14ac:dyDescent="0.25">
      <c r="A12" s="3">
        <v>6</v>
      </c>
      <c r="B12" s="4">
        <v>44753</v>
      </c>
      <c r="C12" s="3" t="s">
        <v>16</v>
      </c>
      <c r="D12" s="3">
        <v>0</v>
      </c>
      <c r="E12" s="3">
        <v>3</v>
      </c>
      <c r="F12" s="3" t="str" cm="1">
        <f t="array" ref="F12">_xlfn.IFS(E12=0,"Valla no vencida",E12&lt;=3,"Normal",TRUE,"Goleado")</f>
        <v>Normal</v>
      </c>
      <c r="G12" s="3">
        <v>233</v>
      </c>
      <c r="H12" s="3" t="s">
        <v>35</v>
      </c>
      <c r="I12" s="3" t="s">
        <v>13</v>
      </c>
      <c r="J12" s="3" t="s">
        <v>14</v>
      </c>
      <c r="K12" s="3" t="s">
        <v>15</v>
      </c>
    </row>
    <row r="13" spans="1:11" ht="15.75" customHeight="1" x14ac:dyDescent="0.25">
      <c r="A13" s="3">
        <v>6</v>
      </c>
      <c r="B13" s="4">
        <v>44753</v>
      </c>
      <c r="C13" s="3" t="s">
        <v>17</v>
      </c>
      <c r="D13" s="3">
        <v>3</v>
      </c>
      <c r="E13" s="3">
        <v>0</v>
      </c>
      <c r="F13" s="3" t="str" cm="1">
        <f t="array" ref="F13">_xlfn.IFS(E13=0,"Valla no vencida",E13&lt;=3,"Normal",TRUE,"Goleado")</f>
        <v>Valla no vencida</v>
      </c>
      <c r="G13" s="3">
        <v>474</v>
      </c>
      <c r="H13" s="3" t="s">
        <v>35</v>
      </c>
      <c r="I13" s="3" t="s">
        <v>19</v>
      </c>
      <c r="J13" s="3" t="s">
        <v>14</v>
      </c>
      <c r="K13" s="3" t="s">
        <v>15</v>
      </c>
    </row>
    <row r="14" spans="1:11" ht="15.75" customHeight="1" x14ac:dyDescent="0.25">
      <c r="A14" s="3">
        <v>7</v>
      </c>
      <c r="B14" s="4">
        <v>44754</v>
      </c>
      <c r="C14" s="3" t="s">
        <v>27</v>
      </c>
      <c r="D14" s="3">
        <v>3</v>
      </c>
      <c r="E14" s="3">
        <v>0</v>
      </c>
      <c r="F14" s="3" t="str" cm="1">
        <f t="array" ref="F14">_xlfn.IFS(E14=0,"Valla no vencida",E14&lt;=3,"Normal",TRUE,"Goleado")</f>
        <v>Valla no vencida</v>
      </c>
      <c r="G14" s="3">
        <v>411</v>
      </c>
      <c r="H14" s="3" t="s">
        <v>28</v>
      </c>
      <c r="I14" s="3" t="s">
        <v>29</v>
      </c>
      <c r="J14" s="3" t="s">
        <v>14</v>
      </c>
      <c r="K14" s="3" t="s">
        <v>24</v>
      </c>
    </row>
    <row r="15" spans="1:11" ht="15.75" customHeight="1" x14ac:dyDescent="0.25">
      <c r="A15" s="3">
        <v>7</v>
      </c>
      <c r="B15" s="4">
        <v>44754</v>
      </c>
      <c r="C15" s="3" t="s">
        <v>22</v>
      </c>
      <c r="D15" s="3">
        <v>0</v>
      </c>
      <c r="E15" s="3">
        <v>3</v>
      </c>
      <c r="F15" s="3" t="str" cm="1">
        <f t="array" ref="F15">_xlfn.IFS(E15=0,"Valla no vencida",E15&lt;=3,"Normal",TRUE,"Goleado")</f>
        <v>Normal</v>
      </c>
      <c r="G15" s="3">
        <v>212</v>
      </c>
      <c r="H15" s="3" t="s">
        <v>28</v>
      </c>
      <c r="I15" s="3" t="s">
        <v>13</v>
      </c>
      <c r="J15" s="3" t="s">
        <v>14</v>
      </c>
      <c r="K15" s="3" t="s">
        <v>24</v>
      </c>
    </row>
    <row r="16" spans="1:11" ht="15.75" customHeight="1" x14ac:dyDescent="0.25">
      <c r="A16" s="3">
        <v>8</v>
      </c>
      <c r="B16" s="4">
        <v>44754</v>
      </c>
      <c r="C16" s="3" t="s">
        <v>30</v>
      </c>
      <c r="D16" s="3">
        <v>4</v>
      </c>
      <c r="E16" s="3">
        <v>0</v>
      </c>
      <c r="F16" s="3" t="str" cm="1">
        <f t="array" ref="F16">_xlfn.IFS(E16=0,"Valla no vencida",E16&lt;=3,"Normal",TRUE,"Goleado")</f>
        <v>Valla no vencida</v>
      </c>
      <c r="G16" s="3">
        <v>445</v>
      </c>
      <c r="H16" s="3" t="s">
        <v>36</v>
      </c>
      <c r="I16" s="3" t="s">
        <v>31</v>
      </c>
      <c r="J16" s="3" t="s">
        <v>14</v>
      </c>
      <c r="K16" s="3" t="s">
        <v>24</v>
      </c>
    </row>
    <row r="17" spans="1:11" ht="15.75" customHeight="1" x14ac:dyDescent="0.25">
      <c r="A17" s="3">
        <v>8</v>
      </c>
      <c r="B17" s="4">
        <v>44754</v>
      </c>
      <c r="C17" s="3" t="s">
        <v>37</v>
      </c>
      <c r="D17" s="3">
        <v>0</v>
      </c>
      <c r="E17" s="3">
        <v>4</v>
      </c>
      <c r="F17" s="3" t="str" cm="1">
        <f t="array" ref="F17">_xlfn.IFS(E17=0,"Valla no vencida",E17&lt;=3,"Normal",TRUE,"Goleado")</f>
        <v>Goleado</v>
      </c>
      <c r="G17" s="3">
        <v>269</v>
      </c>
      <c r="H17" s="3" t="s">
        <v>36</v>
      </c>
      <c r="I17" s="3" t="s">
        <v>13</v>
      </c>
      <c r="J17" s="3" t="s">
        <v>14</v>
      </c>
      <c r="K17" s="3" t="s">
        <v>24</v>
      </c>
    </row>
    <row r="18" spans="1:11" ht="15.75" customHeight="1" x14ac:dyDescent="0.25">
      <c r="A18" s="3">
        <v>9</v>
      </c>
      <c r="B18" s="4">
        <v>44756</v>
      </c>
      <c r="C18" s="3" t="s">
        <v>20</v>
      </c>
      <c r="D18" s="3">
        <v>2</v>
      </c>
      <c r="E18" s="3">
        <v>0</v>
      </c>
      <c r="F18" s="3" t="str" cm="1">
        <f t="array" ref="F18">_xlfn.IFS(E18=0,"Valla no vencida",E18&lt;=3,"Normal",TRUE,"Goleado")</f>
        <v>Valla no vencida</v>
      </c>
      <c r="G18" s="3">
        <v>416</v>
      </c>
      <c r="H18" s="3" t="s">
        <v>38</v>
      </c>
      <c r="I18" s="3" t="s">
        <v>21</v>
      </c>
      <c r="J18" s="3" t="s">
        <v>14</v>
      </c>
      <c r="K18" s="3" t="s">
        <v>15</v>
      </c>
    </row>
    <row r="19" spans="1:11" ht="15.75" customHeight="1" x14ac:dyDescent="0.25">
      <c r="A19" s="3">
        <v>9</v>
      </c>
      <c r="B19" s="4">
        <v>44756</v>
      </c>
      <c r="C19" s="3" t="s">
        <v>16</v>
      </c>
      <c r="D19" s="3">
        <v>0</v>
      </c>
      <c r="E19" s="3">
        <v>2</v>
      </c>
      <c r="F19" s="3" t="str" cm="1">
        <f t="array" ref="F19">_xlfn.IFS(E19=0,"Valla no vencida",E19&lt;=3,"Normal",TRUE,"Goleado")</f>
        <v>Normal</v>
      </c>
      <c r="G19" s="3">
        <v>261</v>
      </c>
      <c r="H19" s="3" t="s">
        <v>38</v>
      </c>
      <c r="I19" s="3" t="s">
        <v>13</v>
      </c>
      <c r="J19" s="3" t="s">
        <v>14</v>
      </c>
      <c r="K19" s="3" t="s">
        <v>15</v>
      </c>
    </row>
    <row r="20" spans="1:11" ht="15.75" customHeight="1" x14ac:dyDescent="0.25">
      <c r="A20" s="3">
        <v>10</v>
      </c>
      <c r="B20" s="4">
        <v>44756</v>
      </c>
      <c r="C20" s="3" t="s">
        <v>33</v>
      </c>
      <c r="D20" s="3">
        <v>2</v>
      </c>
      <c r="E20" s="3">
        <v>1</v>
      </c>
      <c r="F20" s="3" t="str" cm="1">
        <f t="array" ref="F20">_xlfn.IFS(E20=0,"Valla no vencida",E20&lt;=3,"Normal",TRUE,"Goleado")</f>
        <v>Normal</v>
      </c>
      <c r="G20" s="3">
        <v>398</v>
      </c>
      <c r="H20" s="3" t="s">
        <v>39</v>
      </c>
      <c r="I20" s="3" t="s">
        <v>34</v>
      </c>
      <c r="J20" s="3" t="s">
        <v>14</v>
      </c>
      <c r="K20" s="3" t="s">
        <v>15</v>
      </c>
    </row>
    <row r="21" spans="1:11" ht="15.75" customHeight="1" x14ac:dyDescent="0.25">
      <c r="A21" s="3">
        <v>10</v>
      </c>
      <c r="B21" s="4">
        <v>44756</v>
      </c>
      <c r="C21" s="3" t="s">
        <v>11</v>
      </c>
      <c r="D21" s="3">
        <v>1</v>
      </c>
      <c r="E21" s="3">
        <v>2</v>
      </c>
      <c r="F21" s="3" t="str" cm="1">
        <f t="array" ref="F21">_xlfn.IFS(E21=0,"Valla no vencida",E21&lt;=3,"Normal",TRUE,"Goleado")</f>
        <v>Normal</v>
      </c>
      <c r="G21" s="3">
        <v>276</v>
      </c>
      <c r="H21" s="3" t="s">
        <v>39</v>
      </c>
      <c r="I21" s="3" t="s">
        <v>13</v>
      </c>
      <c r="J21" s="3" t="s">
        <v>14</v>
      </c>
      <c r="K21" s="3" t="s">
        <v>15</v>
      </c>
    </row>
    <row r="22" spans="1:11" ht="15.75" customHeight="1" x14ac:dyDescent="0.25">
      <c r="A22" s="3">
        <v>11</v>
      </c>
      <c r="B22" s="4">
        <v>44757</v>
      </c>
      <c r="C22" s="3" t="s">
        <v>30</v>
      </c>
      <c r="D22" s="3">
        <v>5</v>
      </c>
      <c r="E22" s="3">
        <v>0</v>
      </c>
      <c r="F22" s="3" t="str" cm="1">
        <f t="array" ref="F22">_xlfn.IFS(E22=0,"Valla no vencida",E22&lt;=3,"Normal",TRUE,"Goleado")</f>
        <v>Valla no vencida</v>
      </c>
      <c r="G22" s="3">
        <v>292</v>
      </c>
      <c r="H22" s="3" t="s">
        <v>36</v>
      </c>
      <c r="I22" s="3" t="s">
        <v>31</v>
      </c>
      <c r="J22" s="3" t="s">
        <v>14</v>
      </c>
      <c r="K22" s="3" t="s">
        <v>24</v>
      </c>
    </row>
    <row r="23" spans="1:11" ht="15.75" customHeight="1" x14ac:dyDescent="0.25">
      <c r="A23" s="3">
        <v>11</v>
      </c>
      <c r="B23" s="4">
        <v>44757</v>
      </c>
      <c r="C23" s="3" t="s">
        <v>22</v>
      </c>
      <c r="D23" s="3">
        <v>0</v>
      </c>
      <c r="E23" s="3">
        <v>5</v>
      </c>
      <c r="F23" s="3" t="str" cm="1">
        <f t="array" ref="F23">_xlfn.IFS(E23=0,"Valla no vencida",E23&lt;=3,"Normal",TRUE,"Goleado")</f>
        <v>Goleado</v>
      </c>
      <c r="G23" s="3">
        <v>239</v>
      </c>
      <c r="H23" s="3" t="s">
        <v>36</v>
      </c>
      <c r="I23" s="3" t="s">
        <v>13</v>
      </c>
      <c r="J23" s="3" t="s">
        <v>14</v>
      </c>
      <c r="K23" s="3" t="s">
        <v>24</v>
      </c>
    </row>
    <row r="24" spans="1:11" ht="15.75" customHeight="1" x14ac:dyDescent="0.25">
      <c r="A24" s="3">
        <v>12</v>
      </c>
      <c r="B24" s="4">
        <v>44757</v>
      </c>
      <c r="C24" s="3" t="s">
        <v>37</v>
      </c>
      <c r="D24" s="3">
        <v>0</v>
      </c>
      <c r="E24" s="3">
        <v>2</v>
      </c>
      <c r="F24" s="3" t="str" cm="1">
        <f t="array" ref="F24">_xlfn.IFS(E24=0,"Valla no vencida",E24&lt;=3,"Normal",TRUE,"Goleado")</f>
        <v>Normal</v>
      </c>
      <c r="G24" s="3">
        <v>251</v>
      </c>
      <c r="H24" s="3" t="s">
        <v>40</v>
      </c>
      <c r="I24" s="3" t="s">
        <v>13</v>
      </c>
      <c r="J24" s="3" t="s">
        <v>14</v>
      </c>
      <c r="K24" s="3" t="s">
        <v>24</v>
      </c>
    </row>
    <row r="25" spans="1:11" ht="15.75" customHeight="1" x14ac:dyDescent="0.25">
      <c r="A25" s="3">
        <v>12</v>
      </c>
      <c r="B25" s="4">
        <v>44757</v>
      </c>
      <c r="C25" s="3" t="s">
        <v>25</v>
      </c>
      <c r="D25" s="3">
        <v>2</v>
      </c>
      <c r="E25" s="3">
        <v>0</v>
      </c>
      <c r="F25" s="3" t="str" cm="1">
        <f t="array" ref="F25">_xlfn.IFS(E25=0,"Valla no vencida",E25&lt;=3,"Normal",TRUE,"Goleado")</f>
        <v>Valla no vencida</v>
      </c>
      <c r="G25" s="3">
        <v>383</v>
      </c>
      <c r="H25" s="3" t="s">
        <v>40</v>
      </c>
      <c r="I25" s="3" t="s">
        <v>26</v>
      </c>
      <c r="J25" s="3" t="s">
        <v>14</v>
      </c>
      <c r="K25" s="3" t="s">
        <v>24</v>
      </c>
    </row>
    <row r="26" spans="1:11" ht="15.75" customHeight="1" x14ac:dyDescent="0.25">
      <c r="A26" s="3">
        <v>13</v>
      </c>
      <c r="B26" s="4">
        <v>44759</v>
      </c>
      <c r="C26" s="3" t="s">
        <v>33</v>
      </c>
      <c r="D26" s="3">
        <v>5</v>
      </c>
      <c r="E26" s="3">
        <v>0</v>
      </c>
      <c r="F26" s="3" t="str" cm="1">
        <f t="array" ref="F26">_xlfn.IFS(E26=0,"Valla no vencida",E26&lt;=3,"Normal",TRUE,"Goleado")</f>
        <v>Valla no vencida</v>
      </c>
      <c r="G26" s="3">
        <v>448</v>
      </c>
      <c r="H26" s="3" t="s">
        <v>41</v>
      </c>
      <c r="I26" s="3" t="s">
        <v>34</v>
      </c>
      <c r="J26" s="3" t="s">
        <v>14</v>
      </c>
      <c r="K26" s="3" t="s">
        <v>15</v>
      </c>
    </row>
    <row r="27" spans="1:11" ht="15.75" customHeight="1" x14ac:dyDescent="0.25">
      <c r="A27" s="3">
        <v>13</v>
      </c>
      <c r="B27" s="4">
        <v>44759</v>
      </c>
      <c r="C27" s="3" t="s">
        <v>16</v>
      </c>
      <c r="D27" s="3">
        <v>0</v>
      </c>
      <c r="E27" s="3">
        <v>5</v>
      </c>
      <c r="F27" s="3" t="str" cm="1">
        <f t="array" ref="F27">_xlfn.IFS(E27=0,"Valla no vencida",E27&lt;=3,"Normal",TRUE,"Goleado")</f>
        <v>Goleado</v>
      </c>
      <c r="G27" s="3">
        <v>299</v>
      </c>
      <c r="H27" s="3" t="s">
        <v>41</v>
      </c>
      <c r="I27" s="3" t="s">
        <v>13</v>
      </c>
      <c r="J27" s="3" t="s">
        <v>14</v>
      </c>
      <c r="K27" s="3" t="s">
        <v>15</v>
      </c>
    </row>
    <row r="28" spans="1:11" ht="15.75" customHeight="1" x14ac:dyDescent="0.25">
      <c r="A28" s="3">
        <v>14</v>
      </c>
      <c r="B28" s="4">
        <v>44759</v>
      </c>
      <c r="C28" s="3" t="s">
        <v>11</v>
      </c>
      <c r="D28" s="3">
        <v>1</v>
      </c>
      <c r="E28" s="3">
        <v>2</v>
      </c>
      <c r="F28" s="3" t="str" cm="1">
        <f t="array" ref="F28">_xlfn.IFS(E28=0,"Valla no vencida",E28&lt;=3,"Normal",TRUE,"Goleado")</f>
        <v>Normal</v>
      </c>
      <c r="G28" s="3">
        <v>315</v>
      </c>
      <c r="H28" s="3" t="s">
        <v>42</v>
      </c>
      <c r="I28" s="3" t="s">
        <v>13</v>
      </c>
      <c r="J28" s="3" t="s">
        <v>14</v>
      </c>
      <c r="K28" s="3" t="s">
        <v>15</v>
      </c>
    </row>
    <row r="29" spans="1:11" ht="15.75" customHeight="1" x14ac:dyDescent="0.25">
      <c r="A29" s="3">
        <v>14</v>
      </c>
      <c r="B29" s="4">
        <v>44759</v>
      </c>
      <c r="C29" s="3" t="s">
        <v>17</v>
      </c>
      <c r="D29" s="3">
        <v>2</v>
      </c>
      <c r="E29" s="3">
        <v>1</v>
      </c>
      <c r="F29" s="3" t="str" cm="1">
        <f t="array" ref="F29">_xlfn.IFS(E29=0,"Valla no vencida",E29&lt;=3,"Normal",TRUE,"Goleado")</f>
        <v>Normal</v>
      </c>
      <c r="G29" s="3">
        <v>451</v>
      </c>
      <c r="H29" s="3" t="s">
        <v>42</v>
      </c>
      <c r="I29" s="3" t="s">
        <v>19</v>
      </c>
      <c r="J29" s="3" t="s">
        <v>14</v>
      </c>
      <c r="K29" s="3" t="s">
        <v>15</v>
      </c>
    </row>
    <row r="30" spans="1:11" ht="15.75" customHeight="1" x14ac:dyDescent="0.25">
      <c r="A30" s="3">
        <v>15</v>
      </c>
      <c r="B30" s="4">
        <v>44760</v>
      </c>
      <c r="C30" s="3" t="s">
        <v>27</v>
      </c>
      <c r="D30" s="3">
        <v>4</v>
      </c>
      <c r="E30" s="3">
        <v>0</v>
      </c>
      <c r="F30" s="3" t="str" cm="1">
        <f t="array" ref="F30">_xlfn.IFS(E30=0,"Valla no vencida",E30&lt;=3,"Normal",TRUE,"Goleado")</f>
        <v>Valla no vencida</v>
      </c>
      <c r="G30" s="3">
        <v>412</v>
      </c>
      <c r="H30" s="3" t="s">
        <v>43</v>
      </c>
      <c r="I30" s="3" t="s">
        <v>29</v>
      </c>
      <c r="J30" s="3" t="s">
        <v>14</v>
      </c>
      <c r="K30" s="3" t="s">
        <v>24</v>
      </c>
    </row>
    <row r="31" spans="1:11" ht="15.75" customHeight="1" x14ac:dyDescent="0.25">
      <c r="A31" s="3">
        <v>15</v>
      </c>
      <c r="B31" s="4">
        <v>44760</v>
      </c>
      <c r="C31" s="3" t="s">
        <v>25</v>
      </c>
      <c r="D31" s="3">
        <v>0</v>
      </c>
      <c r="E31" s="3">
        <v>4</v>
      </c>
      <c r="F31" s="3" t="str" cm="1">
        <f t="array" ref="F31">_xlfn.IFS(E31=0,"Valla no vencida",E31&lt;=3,"Normal",TRUE,"Goleado")</f>
        <v>Goleado</v>
      </c>
      <c r="G31" s="3">
        <v>294</v>
      </c>
      <c r="H31" s="3" t="s">
        <v>43</v>
      </c>
      <c r="I31" s="3" t="s">
        <v>26</v>
      </c>
      <c r="J31" s="3" t="s">
        <v>14</v>
      </c>
      <c r="K31" s="3" t="s">
        <v>24</v>
      </c>
    </row>
    <row r="32" spans="1:11" ht="15.75" customHeight="1" x14ac:dyDescent="0.25">
      <c r="A32" s="3">
        <v>16</v>
      </c>
      <c r="B32" s="4">
        <v>44760</v>
      </c>
      <c r="C32" s="3" t="s">
        <v>37</v>
      </c>
      <c r="D32" s="3">
        <v>6</v>
      </c>
      <c r="E32" s="3">
        <v>0</v>
      </c>
      <c r="F32" s="3" t="str" cm="1">
        <f t="array" ref="F32">_xlfn.IFS(E32=0,"Valla no vencida",E32&lt;=3,"Normal",TRUE,"Goleado")</f>
        <v>Valla no vencida</v>
      </c>
      <c r="G32" s="3">
        <v>307</v>
      </c>
      <c r="H32" s="3" t="s">
        <v>44</v>
      </c>
      <c r="I32" s="3" t="s">
        <v>13</v>
      </c>
      <c r="J32" s="3" t="s">
        <v>14</v>
      </c>
      <c r="K32" s="3" t="s">
        <v>24</v>
      </c>
    </row>
    <row r="33" spans="1:11" ht="15.75" customHeight="1" x14ac:dyDescent="0.25">
      <c r="A33" s="3">
        <v>16</v>
      </c>
      <c r="B33" s="4">
        <v>44760</v>
      </c>
      <c r="C33" s="3" t="s">
        <v>22</v>
      </c>
      <c r="D33" s="3">
        <v>0</v>
      </c>
      <c r="E33" s="3">
        <v>6</v>
      </c>
      <c r="F33" s="3" t="str" cm="1">
        <f t="array" ref="F33">_xlfn.IFS(E33=0,"Valla no vencida",E33&lt;=3,"Normal",TRUE,"Goleado")</f>
        <v>Goleado</v>
      </c>
      <c r="G33" s="3">
        <v>252</v>
      </c>
      <c r="H33" s="3" t="s">
        <v>44</v>
      </c>
      <c r="I33" s="3" t="s">
        <v>13</v>
      </c>
      <c r="J33" s="3" t="s">
        <v>14</v>
      </c>
      <c r="K33" s="3" t="s">
        <v>24</v>
      </c>
    </row>
    <row r="34" spans="1:11" ht="15.75" customHeight="1" x14ac:dyDescent="0.25">
      <c r="A34" s="3">
        <v>17</v>
      </c>
      <c r="B34" s="4">
        <v>44762</v>
      </c>
      <c r="C34" s="3" t="s">
        <v>17</v>
      </c>
      <c r="D34" s="3">
        <v>4</v>
      </c>
      <c r="E34" s="3">
        <v>0</v>
      </c>
      <c r="F34" s="3" t="str" cm="1">
        <f t="array" ref="F34">_xlfn.IFS(E34=0,"Valla no vencida",E34&lt;=3,"Normal",TRUE,"Goleado")</f>
        <v>Valla no vencida</v>
      </c>
      <c r="G34" s="3">
        <v>347</v>
      </c>
      <c r="H34" s="3" t="s">
        <v>45</v>
      </c>
      <c r="I34" s="3" t="s">
        <v>19</v>
      </c>
      <c r="J34" s="3" t="s">
        <v>14</v>
      </c>
      <c r="K34" s="3" t="s">
        <v>15</v>
      </c>
    </row>
    <row r="35" spans="1:11" ht="15.75" customHeight="1" x14ac:dyDescent="0.25">
      <c r="A35" s="3">
        <v>17</v>
      </c>
      <c r="B35" s="4">
        <v>44762</v>
      </c>
      <c r="C35" s="3" t="s">
        <v>33</v>
      </c>
      <c r="D35" s="3">
        <v>0</v>
      </c>
      <c r="E35" s="3">
        <v>4</v>
      </c>
      <c r="F35" s="3" t="str" cm="1">
        <f t="array" ref="F35">_xlfn.IFS(E35=0,"Valla no vencida",E35&lt;=3,"Normal",TRUE,"Goleado")</f>
        <v>Goleado</v>
      </c>
      <c r="G35" s="3">
        <v>367</v>
      </c>
      <c r="H35" s="3" t="s">
        <v>45</v>
      </c>
      <c r="I35" s="3" t="s">
        <v>34</v>
      </c>
      <c r="J35" s="3" t="s">
        <v>14</v>
      </c>
      <c r="K35" s="3" t="s">
        <v>15</v>
      </c>
    </row>
    <row r="36" spans="1:11" ht="15.75" customHeight="1" x14ac:dyDescent="0.25">
      <c r="A36" s="3">
        <v>18</v>
      </c>
      <c r="B36" s="4">
        <v>44762</v>
      </c>
      <c r="C36" s="3" t="s">
        <v>11</v>
      </c>
      <c r="D36" s="3">
        <v>1</v>
      </c>
      <c r="E36" s="3">
        <v>2</v>
      </c>
      <c r="F36" s="3" t="str" cm="1">
        <f t="array" ref="F36">_xlfn.IFS(E36=0,"Valla no vencida",E36&lt;=3,"Normal",TRUE,"Goleado")</f>
        <v>Normal</v>
      </c>
      <c r="G36" s="3">
        <v>355</v>
      </c>
      <c r="H36" s="3" t="s">
        <v>46</v>
      </c>
      <c r="I36" s="3" t="s">
        <v>13</v>
      </c>
      <c r="J36" s="3" t="s">
        <v>14</v>
      </c>
      <c r="K36" s="3" t="s">
        <v>15</v>
      </c>
    </row>
    <row r="37" spans="1:11" ht="15.75" customHeight="1" x14ac:dyDescent="0.25">
      <c r="A37" s="3">
        <v>18</v>
      </c>
      <c r="B37" s="4">
        <v>44762</v>
      </c>
      <c r="C37" s="3" t="s">
        <v>20</v>
      </c>
      <c r="D37" s="3">
        <v>2</v>
      </c>
      <c r="E37" s="3">
        <v>1</v>
      </c>
      <c r="F37" s="3" t="str" cm="1">
        <f t="array" ref="F37">_xlfn.IFS(E37=0,"Valla no vencida",E37&lt;=3,"Normal",TRUE,"Goleado")</f>
        <v>Normal</v>
      </c>
      <c r="G37" s="3">
        <v>310</v>
      </c>
      <c r="H37" s="3" t="s">
        <v>46</v>
      </c>
      <c r="I37" s="3" t="s">
        <v>21</v>
      </c>
      <c r="J37" s="3" t="s">
        <v>14</v>
      </c>
      <c r="K37" s="3" t="s">
        <v>15</v>
      </c>
    </row>
    <row r="38" spans="1:11" ht="15.75" customHeight="1" x14ac:dyDescent="0.25">
      <c r="A38" s="3">
        <v>19</v>
      </c>
      <c r="B38" s="4">
        <v>44763</v>
      </c>
      <c r="C38" s="3" t="s">
        <v>25</v>
      </c>
      <c r="D38" s="3">
        <v>0</v>
      </c>
      <c r="E38" s="3">
        <v>1</v>
      </c>
      <c r="F38" s="3" t="str" cm="1">
        <f t="array" ref="F38">_xlfn.IFS(E38=0,"Valla no vencida",E38&lt;=3,"Normal",TRUE,"Goleado")</f>
        <v>Normal</v>
      </c>
      <c r="G38" s="3">
        <v>333</v>
      </c>
      <c r="H38" s="3" t="s">
        <v>47</v>
      </c>
      <c r="I38" s="3" t="s">
        <v>26</v>
      </c>
      <c r="J38" s="3" t="s">
        <v>14</v>
      </c>
      <c r="K38" s="3" t="s">
        <v>24</v>
      </c>
    </row>
    <row r="39" spans="1:11" ht="15.75" customHeight="1" x14ac:dyDescent="0.25">
      <c r="A39" s="3">
        <v>19</v>
      </c>
      <c r="B39" s="4">
        <v>44763</v>
      </c>
      <c r="C39" s="3" t="s">
        <v>30</v>
      </c>
      <c r="D39" s="3">
        <v>1</v>
      </c>
      <c r="E39" s="3">
        <v>0</v>
      </c>
      <c r="F39" s="3" t="str" cm="1">
        <f t="array" ref="F39">_xlfn.IFS(E39=0,"Valla no vencida",E39&lt;=3,"Normal",TRUE,"Goleado")</f>
        <v>Valla no vencida</v>
      </c>
      <c r="G39" s="3">
        <v>308</v>
      </c>
      <c r="H39" s="3" t="s">
        <v>47</v>
      </c>
      <c r="I39" s="3" t="s">
        <v>31</v>
      </c>
      <c r="J39" s="3" t="s">
        <v>14</v>
      </c>
      <c r="K39" s="3" t="s">
        <v>24</v>
      </c>
    </row>
    <row r="40" spans="1:11" ht="15.75" customHeight="1" x14ac:dyDescent="0.25">
      <c r="A40" s="3">
        <v>20</v>
      </c>
      <c r="B40" s="4">
        <v>44763</v>
      </c>
      <c r="C40" s="3" t="s">
        <v>27</v>
      </c>
      <c r="D40" s="3">
        <v>6</v>
      </c>
      <c r="E40" s="3">
        <v>0</v>
      </c>
      <c r="F40" s="3" t="str" cm="1">
        <f t="array" ref="F40">_xlfn.IFS(E40=0,"Valla no vencida",E40&lt;=3,"Normal",TRUE,"Goleado")</f>
        <v>Valla no vencida</v>
      </c>
      <c r="G40" s="3">
        <v>466</v>
      </c>
      <c r="H40" s="3" t="s">
        <v>48</v>
      </c>
      <c r="I40" s="3" t="s">
        <v>29</v>
      </c>
      <c r="J40" s="3" t="s">
        <v>14</v>
      </c>
      <c r="K40" s="3" t="s">
        <v>24</v>
      </c>
    </row>
    <row r="41" spans="1:11" ht="15.75" customHeight="1" x14ac:dyDescent="0.25">
      <c r="A41" s="3">
        <v>20</v>
      </c>
      <c r="B41" s="4">
        <v>44763</v>
      </c>
      <c r="C41" s="3" t="s">
        <v>27</v>
      </c>
      <c r="D41" s="3">
        <v>6</v>
      </c>
      <c r="E41" s="3">
        <v>0</v>
      </c>
      <c r="F41" s="3" t="str" cm="1">
        <f t="array" ref="F41">_xlfn.IFS(E41=0,"Valla no vencida",E41&lt;=3,"Normal",TRUE,"Goleado")</f>
        <v>Valla no vencida</v>
      </c>
      <c r="G41" s="3">
        <v>466</v>
      </c>
      <c r="H41" s="3" t="s">
        <v>48</v>
      </c>
      <c r="I41" s="3" t="s">
        <v>29</v>
      </c>
      <c r="J41" s="3" t="s">
        <v>14</v>
      </c>
      <c r="K41" s="3" t="s">
        <v>24</v>
      </c>
    </row>
    <row r="42" spans="1:11" ht="15.75" customHeight="1" x14ac:dyDescent="0.25">
      <c r="A42" s="3">
        <v>20</v>
      </c>
      <c r="B42" s="4">
        <v>44763</v>
      </c>
      <c r="C42" s="3" t="s">
        <v>37</v>
      </c>
      <c r="D42" s="3">
        <v>0</v>
      </c>
      <c r="E42" s="3">
        <v>6</v>
      </c>
      <c r="F42" s="3" t="str" cm="1">
        <f t="array" ref="F42">_xlfn.IFS(E42=0,"Valla no vencida",E42&lt;=3,"Normal",TRUE,"Goleado")</f>
        <v>Goleado</v>
      </c>
      <c r="G42" s="3">
        <v>272</v>
      </c>
      <c r="H42" s="3" t="s">
        <v>48</v>
      </c>
      <c r="I42" s="3" t="s">
        <v>13</v>
      </c>
      <c r="J42" s="3" t="s">
        <v>14</v>
      </c>
      <c r="K42" s="3" t="s">
        <v>24</v>
      </c>
    </row>
    <row r="43" spans="1:11" ht="15.75" customHeight="1" x14ac:dyDescent="0.25">
      <c r="A43" s="3">
        <v>21</v>
      </c>
      <c r="B43" s="4">
        <v>44766</v>
      </c>
      <c r="C43" s="3" t="s">
        <v>33</v>
      </c>
      <c r="D43" s="3">
        <v>1</v>
      </c>
      <c r="E43" s="3">
        <v>1</v>
      </c>
      <c r="F43" s="3" t="str" cm="1">
        <f t="array" ref="F43">_xlfn.IFS(E43=0,"Valla no vencida",E43&lt;=3,"Normal",TRUE,"Goleado")</f>
        <v>Normal</v>
      </c>
      <c r="G43" s="3">
        <v>288</v>
      </c>
      <c r="H43" s="3" t="s">
        <v>49</v>
      </c>
      <c r="I43" s="3" t="s">
        <v>34</v>
      </c>
      <c r="J43" s="3" t="s">
        <v>50</v>
      </c>
      <c r="K43" s="3" t="s">
        <v>51</v>
      </c>
    </row>
    <row r="44" spans="1:11" ht="15.75" customHeight="1" x14ac:dyDescent="0.25">
      <c r="A44" s="3">
        <v>21</v>
      </c>
      <c r="B44" s="4">
        <v>44766</v>
      </c>
      <c r="C44" s="3" t="s">
        <v>25</v>
      </c>
      <c r="D44" s="3">
        <v>1</v>
      </c>
      <c r="E44" s="3">
        <v>1</v>
      </c>
      <c r="F44" s="3" t="str" cm="1">
        <f t="array" ref="F44">_xlfn.IFS(E44=0,"Valla no vencida",E44&lt;=3,"Normal",TRUE,"Goleado")</f>
        <v>Normal</v>
      </c>
      <c r="G44" s="3">
        <v>281</v>
      </c>
      <c r="H44" s="3" t="s">
        <v>49</v>
      </c>
      <c r="I44" s="3" t="s">
        <v>26</v>
      </c>
      <c r="J44" s="3" t="s">
        <v>50</v>
      </c>
      <c r="K44" s="3" t="s">
        <v>51</v>
      </c>
    </row>
    <row r="45" spans="1:11" ht="15.75" customHeight="1" x14ac:dyDescent="0.25">
      <c r="A45" s="3">
        <v>22</v>
      </c>
      <c r="B45" s="4">
        <v>44767</v>
      </c>
      <c r="C45" s="3" t="s">
        <v>17</v>
      </c>
      <c r="D45" s="3">
        <v>1</v>
      </c>
      <c r="E45" s="3">
        <v>0</v>
      </c>
      <c r="F45" s="3" t="str" cm="1">
        <f t="array" ref="F45">_xlfn.IFS(E45=0,"Valla no vencida",E45&lt;=3,"Normal",TRUE,"Goleado")</f>
        <v>Valla no vencida</v>
      </c>
      <c r="G45" s="3">
        <v>289</v>
      </c>
      <c r="H45" s="3" t="s">
        <v>42</v>
      </c>
      <c r="I45" s="3" t="s">
        <v>19</v>
      </c>
      <c r="J45" s="3" t="s">
        <v>52</v>
      </c>
      <c r="K45" s="3" t="s">
        <v>51</v>
      </c>
    </row>
    <row r="46" spans="1:11" ht="15.75" customHeight="1" x14ac:dyDescent="0.25">
      <c r="A46" s="3">
        <v>22</v>
      </c>
      <c r="B46" s="4">
        <v>44767</v>
      </c>
      <c r="C46" s="3" t="s">
        <v>30</v>
      </c>
      <c r="D46" s="3">
        <v>0</v>
      </c>
      <c r="E46" s="3">
        <v>1</v>
      </c>
      <c r="F46" s="3" t="str" cm="1">
        <f t="array" ref="F46">_xlfn.IFS(E46=0,"Valla no vencida",E46&lt;=3,"Normal",TRUE,"Goleado")</f>
        <v>Normal</v>
      </c>
      <c r="G46" s="3">
        <v>317</v>
      </c>
      <c r="H46" s="3" t="s">
        <v>42</v>
      </c>
      <c r="I46" s="3" t="s">
        <v>31</v>
      </c>
      <c r="J46" s="3" t="s">
        <v>52</v>
      </c>
      <c r="K46" s="3" t="s">
        <v>51</v>
      </c>
    </row>
    <row r="47" spans="1:11" ht="15.75" customHeight="1" x14ac:dyDescent="0.25">
      <c r="A47" s="3">
        <v>23</v>
      </c>
      <c r="B47" s="4">
        <v>44768</v>
      </c>
      <c r="C47" s="3" t="s">
        <v>27</v>
      </c>
      <c r="D47" s="3">
        <v>2</v>
      </c>
      <c r="E47" s="3">
        <v>0</v>
      </c>
      <c r="F47" s="3" t="str" cm="1">
        <f t="array" ref="F47">_xlfn.IFS(E47=0,"Valla no vencida",E47&lt;=3,"Normal",TRUE,"Goleado")</f>
        <v>Valla no vencida</v>
      </c>
      <c r="G47" s="3">
        <v>443</v>
      </c>
      <c r="H47" s="3" t="s">
        <v>53</v>
      </c>
      <c r="I47" s="3" t="s">
        <v>29</v>
      </c>
      <c r="J47" s="3" t="s">
        <v>52</v>
      </c>
      <c r="K47" s="3" t="s">
        <v>51</v>
      </c>
    </row>
    <row r="48" spans="1:11" ht="15.75" customHeight="1" x14ac:dyDescent="0.25">
      <c r="A48" s="3">
        <v>23</v>
      </c>
      <c r="B48" s="4">
        <v>44768</v>
      </c>
      <c r="C48" s="3" t="s">
        <v>20</v>
      </c>
      <c r="D48" s="3">
        <v>0</v>
      </c>
      <c r="E48" s="3">
        <v>2</v>
      </c>
      <c r="F48" s="3" t="str" cm="1">
        <f t="array" ref="F48">_xlfn.IFS(E48=0,"Valla no vencida",E48&lt;=3,"Normal",TRUE,"Goleado")</f>
        <v>Normal</v>
      </c>
      <c r="G48" s="3">
        <v>202</v>
      </c>
      <c r="H48" s="3" t="s">
        <v>53</v>
      </c>
      <c r="I48" s="3" t="s">
        <v>21</v>
      </c>
      <c r="J48" s="3" t="s">
        <v>52</v>
      </c>
      <c r="K48" s="3" t="s">
        <v>51</v>
      </c>
    </row>
    <row r="49" spans="1:11" ht="15.75" customHeight="1" x14ac:dyDescent="0.25">
      <c r="A49" s="3">
        <v>24</v>
      </c>
      <c r="B49" s="4">
        <v>44771</v>
      </c>
      <c r="C49" s="3" t="s">
        <v>30</v>
      </c>
      <c r="D49" s="3">
        <v>3</v>
      </c>
      <c r="E49" s="3">
        <v>1</v>
      </c>
      <c r="F49" s="3" t="str" cm="1">
        <f t="array" ref="F49">_xlfn.IFS(E49=0,"Valla no vencida",E49&lt;=3,"Normal",TRUE,"Goleado")</f>
        <v>Normal</v>
      </c>
      <c r="G49" s="3">
        <v>453</v>
      </c>
      <c r="H49" s="3" t="s">
        <v>36</v>
      </c>
      <c r="I49" s="3" t="s">
        <v>31</v>
      </c>
      <c r="J49" s="3" t="s">
        <v>54</v>
      </c>
      <c r="K49" s="3" t="s">
        <v>51</v>
      </c>
    </row>
    <row r="50" spans="1:11" ht="15.75" customHeight="1" x14ac:dyDescent="0.25">
      <c r="A50" s="3">
        <v>24</v>
      </c>
      <c r="B50" s="4">
        <v>44771</v>
      </c>
      <c r="C50" s="3" t="s">
        <v>20</v>
      </c>
      <c r="D50" s="3">
        <v>1</v>
      </c>
      <c r="E50" s="3">
        <v>3</v>
      </c>
      <c r="F50" s="3" t="str" cm="1">
        <f t="array" ref="F50">_xlfn.IFS(E50=0,"Valla no vencida",E50&lt;=3,"Normal",TRUE,"Goleado")</f>
        <v>Normal</v>
      </c>
      <c r="G50" s="3">
        <v>257</v>
      </c>
      <c r="H50" s="3" t="s">
        <v>36</v>
      </c>
      <c r="I50" s="3" t="s">
        <v>21</v>
      </c>
      <c r="J50" s="3" t="s">
        <v>54</v>
      </c>
      <c r="K50" s="3" t="s">
        <v>51</v>
      </c>
    </row>
    <row r="51" spans="1:11" ht="15.75" customHeight="1" x14ac:dyDescent="0.25">
      <c r="A51" s="3">
        <v>25</v>
      </c>
      <c r="B51" s="4">
        <v>44772</v>
      </c>
      <c r="C51" s="3" t="s">
        <v>17</v>
      </c>
      <c r="D51" s="3">
        <v>0</v>
      </c>
      <c r="E51" s="3">
        <v>1</v>
      </c>
      <c r="F51" s="3" t="str" cm="1">
        <f t="array" ref="F51">_xlfn.IFS(E51=0,"Valla no vencida",E51&lt;=3,"Normal",TRUE,"Goleado")</f>
        <v>Normal</v>
      </c>
      <c r="G51" s="3">
        <v>241</v>
      </c>
      <c r="H51" s="3" t="s">
        <v>42</v>
      </c>
      <c r="I51" s="3" t="s">
        <v>19</v>
      </c>
      <c r="J51" s="3" t="s">
        <v>55</v>
      </c>
      <c r="K51" s="3" t="s">
        <v>51</v>
      </c>
    </row>
    <row r="52" spans="1:11" ht="15.75" customHeight="1" x14ac:dyDescent="0.25">
      <c r="A52" s="3">
        <v>25</v>
      </c>
      <c r="B52" s="4">
        <v>44772</v>
      </c>
      <c r="C52" s="3" t="s">
        <v>27</v>
      </c>
      <c r="D52" s="3">
        <v>1</v>
      </c>
      <c r="E52" s="3">
        <v>0</v>
      </c>
      <c r="F52" s="3" t="str" cm="1">
        <f t="array" ref="F52">_xlfn.IFS(E52=0,"Valla no vencida",E52&lt;=3,"Normal",TRUE,"Goleado")</f>
        <v>Valla no vencida</v>
      </c>
      <c r="G52" s="3">
        <v>323</v>
      </c>
      <c r="H52" s="3" t="s">
        <v>42</v>
      </c>
      <c r="I52" s="3" t="s">
        <v>29</v>
      </c>
      <c r="J52" s="3" t="s">
        <v>55</v>
      </c>
      <c r="K52" s="3" t="s">
        <v>51</v>
      </c>
    </row>
    <row r="53" spans="1:11" ht="15.75" customHeight="1" x14ac:dyDescent="0.25"/>
    <row r="54" spans="1:11" ht="15.75" customHeight="1" x14ac:dyDescent="0.25"/>
    <row r="55" spans="1:11" ht="15.75" customHeight="1" x14ac:dyDescent="0.25"/>
    <row r="56" spans="1:11" ht="15.75" customHeight="1" x14ac:dyDescent="0.25"/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6328125" defaultRowHeight="15" customHeight="1" x14ac:dyDescent="0.25"/>
  <cols>
    <col min="1" max="26" width="10.63281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workbookViewId="0"/>
  </sheetViews>
  <sheetFormatPr baseColWidth="10" defaultColWidth="12.6328125" defaultRowHeight="15" customHeight="1" x14ac:dyDescent="0.25"/>
  <sheetData>
    <row r="1" spans="1:1" ht="15.75" customHeight="1" x14ac:dyDescent="0.25">
      <c r="A1" s="5" t="s">
        <v>56</v>
      </c>
    </row>
    <row r="2" spans="1:1" ht="15.75" customHeight="1" x14ac:dyDescent="0.25">
      <c r="A2" s="6" t="s">
        <v>57</v>
      </c>
    </row>
    <row r="3" spans="1:1" ht="15.75" customHeight="1" x14ac:dyDescent="0.25">
      <c r="A3" s="6" t="s">
        <v>58</v>
      </c>
    </row>
    <row r="4" spans="1:1" ht="15.75" customHeight="1" x14ac:dyDescent="0.25"/>
    <row r="5" spans="1:1" ht="15.75" customHeight="1" x14ac:dyDescent="0.25"/>
    <row r="6" spans="1:1" ht="15.75" customHeight="1" x14ac:dyDescent="0.25"/>
    <row r="7" spans="1:1" ht="15.75" customHeight="1" x14ac:dyDescent="0.25"/>
    <row r="8" spans="1:1" ht="15.75" customHeight="1" x14ac:dyDescent="0.25"/>
    <row r="9" spans="1:1" ht="15.75" customHeight="1" x14ac:dyDescent="0.25"/>
    <row r="10" spans="1:1" ht="15.75" customHeight="1" x14ac:dyDescent="0.25"/>
    <row r="11" spans="1:1" ht="15.75" customHeight="1" x14ac:dyDescent="0.25"/>
    <row r="12" spans="1:1" ht="15.75" customHeight="1" x14ac:dyDescent="0.25"/>
    <row r="13" spans="1:1" ht="15.75" customHeight="1" x14ac:dyDescent="0.25"/>
    <row r="14" spans="1:1" ht="15.75" customHeight="1" x14ac:dyDescent="0.25"/>
    <row r="15" spans="1:1" ht="15.75" customHeight="1" x14ac:dyDescent="0.25"/>
    <row r="16" spans="1: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1" r:id="rId1" xr:uid="{00000000-0004-0000-0200-000000000000}"/>
    <hyperlink ref="A2" r:id="rId2" xr:uid="{00000000-0004-0000-0200-000001000000}"/>
    <hyperlink ref="A3" r:id="rId3" location="sie=lg;/g/11j65kxfj2;2;/m/0fb7p6;mt;fp;1;;;" xr:uid="{00000000-0004-0000-0200-00000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COPA AMERICA</vt:lpstr>
      <vt:lpstr>INSTRUCCIONES</vt:lpstr>
      <vt:lpstr>Datos tomados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2026-03-14T00:05:22Z</dcterms:created>
  <dcterms:modified xsi:type="dcterms:W3CDTF">2026-03-14T00:05:25Z</dcterms:modified>
</cp:coreProperties>
</file>